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eur" sheetId="1" state="visible" r:id="rId3"/>
    <sheet name="Aide et coefficien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<sst xmlns="http://schemas.openxmlformats.org/spreadsheetml/2006/main" count="241" uniqueCount="183">
  <si>
    <t xml:space="preserve">Calculateur de criticité CVSS</t>
  </si>
  <si>
    <t xml:space="preserve">
</t>
  </si>
  <si>
    <t xml:space="preserve">Version CVSS</t>
  </si>
  <si>
    <t xml:space="preserve">CVSS 3.1</t>
  </si>
  <si>
    <t xml:space="preserve">SCORE / 10</t>
  </si>
  <si>
    <t xml:space="preserve">Résultat</t>
  </si>
  <si>
    <t xml:space="preserve">Base</t>
  </si>
  <si>
    <t xml:space="preserve">Mode d’emploi</t>
  </si>
  <si>
    <t xml:space="preserve">Temporel</t>
  </si>
  <si>
    <t xml:space="preserve">1. Choisir la version et les codes jaunes.</t>
  </si>
  <si>
    <t xml:space="preserve">2. Lire les trois scores à droite.</t>
  </si>
  <si>
    <t xml:space="preserve">Environnemental</t>
  </si>
  <si>
    <t xml:space="preserve">3. Consulter l’aide pour les codes.</t>
  </si>
  <si>
    <t xml:space="preserve">MÉTRIQUES DE BASE</t>
  </si>
  <si>
    <t xml:space="preserve">DÉTAIL DU CALCUL</t>
  </si>
  <si>
    <t xml:space="preserve">Code</t>
  </si>
  <si>
    <t xml:space="preserve">Critère</t>
  </si>
  <si>
    <t xml:space="preserve">Choix</t>
  </si>
  <si>
    <t xml:space="preserve">Effectif</t>
  </si>
  <si>
    <t xml:space="preserve">Poids</t>
  </si>
  <si>
    <t xml:space="preserve">AV</t>
  </si>
  <si>
    <t xml:space="preserve">Vecteur d’attaque</t>
  </si>
  <si>
    <t xml:space="preserve">N</t>
  </si>
  <si>
    <t xml:space="preserve">ISS</t>
  </si>
  <si>
    <t xml:space="preserve">AC</t>
  </si>
  <si>
    <t xml:space="preserve">Complexité</t>
  </si>
  <si>
    <t xml:space="preserve">L</t>
  </si>
  <si>
    <t xml:space="preserve">Impact</t>
  </si>
  <si>
    <t xml:space="preserve">PR</t>
  </si>
  <si>
    <t xml:space="preserve">Privilèges requis</t>
  </si>
  <si>
    <t xml:space="preserve">Exploitabilité</t>
  </si>
  <si>
    <t xml:space="preserve">UI</t>
  </si>
  <si>
    <t xml:space="preserve">Interaction utilisateur</t>
  </si>
  <si>
    <t xml:space="preserve">R</t>
  </si>
  <si>
    <t xml:space="preserve">Score de base</t>
  </si>
  <si>
    <t xml:space="preserve">S</t>
  </si>
  <si>
    <t xml:space="preserve">Portée</t>
  </si>
  <si>
    <t xml:space="preserve">C</t>
  </si>
  <si>
    <t xml:space="preserve">Score temporel</t>
  </si>
  <si>
    <t xml:space="preserve">Confidentialité</t>
  </si>
  <si>
    <t xml:space="preserve">H</t>
  </si>
  <si>
    <t xml:space="preserve">I</t>
  </si>
  <si>
    <t xml:space="preserve">Intégrité</t>
  </si>
  <si>
    <t xml:space="preserve">MISS</t>
  </si>
  <si>
    <t xml:space="preserve">A</t>
  </si>
  <si>
    <t xml:space="preserve">Disponibilité</t>
  </si>
  <si>
    <t xml:space="preserve">Impact modifié</t>
  </si>
  <si>
    <t xml:space="preserve">MÉTRIQUES TEMPORELLES</t>
  </si>
  <si>
    <t xml:space="preserve">Exploitabilité modifiée</t>
  </si>
  <si>
    <t xml:space="preserve">Sous-total environnemental plafonné</t>
  </si>
  <si>
    <t xml:space="preserve">E</t>
  </si>
  <si>
    <t xml:space="preserve">Maturité du code</t>
  </si>
  <si>
    <t xml:space="preserve">x</t>
  </si>
  <si>
    <t xml:space="preserve">Sous-total arrondi</t>
  </si>
  <si>
    <t xml:space="preserve">RL</t>
  </si>
  <si>
    <t xml:space="preserve">Niveau de correctif</t>
  </si>
  <si>
    <t xml:space="preserve">X</t>
  </si>
  <si>
    <t xml:space="preserve">Score environnemental</t>
  </si>
  <si>
    <t xml:space="preserve">RC</t>
  </si>
  <si>
    <t xml:space="preserve">Fiabilité du rapport</t>
  </si>
  <si>
    <t xml:space="preserve">BESOINS DE SÉCURITÉ</t>
  </si>
  <si>
    <t xml:space="preserve">CR</t>
  </si>
  <si>
    <t xml:space="preserve">Besoin de confidentialité</t>
  </si>
  <si>
    <t xml:space="preserve">IR</t>
  </si>
  <si>
    <t xml:space="preserve">Besoin d’intégrité</t>
  </si>
  <si>
    <t xml:space="preserve">AR</t>
  </si>
  <si>
    <t xml:space="preserve">Besoin de disponibilité</t>
  </si>
  <si>
    <t xml:space="preserve">MÉTRIQUES MODIFIÉES</t>
  </si>
  <si>
    <t xml:space="preserve">MAV</t>
  </si>
  <si>
    <t xml:space="preserve">Modifié : Vecteur d’attaque</t>
  </si>
  <si>
    <t xml:space="preserve">MAC</t>
  </si>
  <si>
    <t xml:space="preserve">Modifié : Complexité</t>
  </si>
  <si>
    <t xml:space="preserve">X : non défini (poids neutre ou reprise de la base).</t>
  </si>
  <si>
    <t xml:space="preserve">MPR</t>
  </si>
  <si>
    <t xml:space="preserve">Modifié : Privilèges requis</t>
  </si>
  <si>
    <t xml:space="preserve">MUI</t>
  </si>
  <si>
    <t xml:space="preserve">Modifié : Interaction utilisateur</t>
  </si>
  <si>
    <t xml:space="preserve">Les trois scores ne s’additionnent pas.</t>
  </si>
  <si>
    <t xml:space="preserve">MS</t>
  </si>
  <si>
    <t xml:space="preserve">Modifié : Portée</t>
  </si>
  <si>
    <t xml:space="preserve">MC</t>
  </si>
  <si>
    <t xml:space="preserve">Modifié : Confidentialité</t>
  </si>
  <si>
    <t xml:space="preserve">Jaune = saisie ; les autres cellules sont calculées.</t>
  </si>
  <si>
    <t xml:space="preserve">MI</t>
  </si>
  <si>
    <t xml:space="preserve">Modifié : Intégrité</t>
  </si>
  <si>
    <t xml:space="preserve">MA</t>
  </si>
  <si>
    <t xml:space="preserve">Modifié : Disponibilité</t>
  </si>
  <si>
    <t xml:space="preserve">Sans macro. Pas de récupération automatique sur NVD.</t>
  </si>
  <si>
    <t xml:space="preserve">Vecteur de base à copier</t>
  </si>
  <si>
    <t xml:space="preserve">Vecteur complet à copier</t>
  </si>
  <si>
    <t xml:space="preserve">Aide et coefficients</t>
  </si>
  <si>
    <t xml:space="preserve">SIGNIFICATION DES CRITÈRES</t>
  </si>
  <si>
    <t xml:space="preserve">AV : accès nécessaire ; AC : conditions particulières de réussite.</t>
  </si>
  <si>
    <t xml:space="preserve">PR : privilèges déjà requis ; UI : action d’un autre utilisateur nécessaire.</t>
  </si>
  <si>
    <t xml:space="preserve">PR:U = portée inchangée</t>
  </si>
  <si>
    <t xml:space="preserve">S : franchissement d’une autorité de sécurité (U inchangée, C changée).</t>
  </si>
  <si>
    <t xml:space="preserve">PR:C = portée changée</t>
  </si>
  <si>
    <t xml:space="preserve">C : perte de confidentialité ; I : altération ; A : perte de disponibilité.</t>
  </si>
  <si>
    <t xml:space="preserve">E : maturité du code ; RL : correctif disponible ; RC : fiabilité des informations.</t>
  </si>
  <si>
    <t xml:space="preserve">S n’a pas de poids numérique.</t>
  </si>
  <si>
    <t xml:space="preserve">CR / IR / AR : importance locale de la confidentialité, intégrité, disponibilité.</t>
  </si>
  <si>
    <t xml:space="preserve">MAV à MA : critères réévalués selon les protections et conditions locales.</t>
  </si>
  <si>
    <t xml:space="preserve">Poids de référence</t>
  </si>
  <si>
    <t xml:space="preserve">Clé</t>
  </si>
  <si>
    <t xml:space="preserve">Signification</t>
  </si>
  <si>
    <t xml:space="preserve">AV:N</t>
  </si>
  <si>
    <t xml:space="preserve">Réseau</t>
  </si>
  <si>
    <t xml:space="preserve">AV:A</t>
  </si>
  <si>
    <t xml:space="preserve">Réseau adjacent</t>
  </si>
  <si>
    <t xml:space="preserve">AV:L</t>
  </si>
  <si>
    <t xml:space="preserve">Local</t>
  </si>
  <si>
    <t xml:space="preserve">AV:P</t>
  </si>
  <si>
    <t xml:space="preserve">Physique</t>
  </si>
  <si>
    <t xml:space="preserve">AC:L</t>
  </si>
  <si>
    <t xml:space="preserve">Faible</t>
  </si>
  <si>
    <t xml:space="preserve">AC:H</t>
  </si>
  <si>
    <t xml:space="preserve">Élevée</t>
  </si>
  <si>
    <t xml:space="preserve">UI:N</t>
  </si>
  <si>
    <t xml:space="preserve">Aucune</t>
  </si>
  <si>
    <t xml:space="preserve">UI:R</t>
  </si>
  <si>
    <t xml:space="preserve">Requise</t>
  </si>
  <si>
    <t xml:space="preserve">E:X</t>
  </si>
  <si>
    <t xml:space="preserve">Non défini</t>
  </si>
  <si>
    <t xml:space="preserve">E:H</t>
  </si>
  <si>
    <t xml:space="preserve">E:F</t>
  </si>
  <si>
    <t xml:space="preserve">Fonctionnel</t>
  </si>
  <si>
    <t xml:space="preserve">E:P</t>
  </si>
  <si>
    <t xml:space="preserve">Preuve de concept</t>
  </si>
  <si>
    <t xml:space="preserve">E:U</t>
  </si>
  <si>
    <t xml:space="preserve">Non démontré</t>
  </si>
  <si>
    <t xml:space="preserve">RL:X</t>
  </si>
  <si>
    <t xml:space="preserve">RL:U</t>
  </si>
  <si>
    <t xml:space="preserve">Indisponible</t>
  </si>
  <si>
    <t xml:space="preserve">RL:W</t>
  </si>
  <si>
    <t xml:space="preserve">Contournement</t>
  </si>
  <si>
    <t xml:space="preserve">RL:T</t>
  </si>
  <si>
    <t xml:space="preserve">Correctif temporaire</t>
  </si>
  <si>
    <t xml:space="preserve">RL:O</t>
  </si>
  <si>
    <t xml:space="preserve">Correctif officiel</t>
  </si>
  <si>
    <t xml:space="preserve">RC:X</t>
  </si>
  <si>
    <t xml:space="preserve">RC:C</t>
  </si>
  <si>
    <t xml:space="preserve">Confirmé</t>
  </si>
  <si>
    <t xml:space="preserve">RC:R</t>
  </si>
  <si>
    <t xml:space="preserve">Raisonnable</t>
  </si>
  <si>
    <t xml:space="preserve">RC:U</t>
  </si>
  <si>
    <t xml:space="preserve">Inconnu</t>
  </si>
  <si>
    <t xml:space="preserve">C:H</t>
  </si>
  <si>
    <t xml:space="preserve">Élevé</t>
  </si>
  <si>
    <t xml:space="preserve">C:L</t>
  </si>
  <si>
    <t xml:space="preserve">C:N</t>
  </si>
  <si>
    <t xml:space="preserve">Aucun</t>
  </si>
  <si>
    <t xml:space="preserve">I:H</t>
  </si>
  <si>
    <t xml:space="preserve">I:L</t>
  </si>
  <si>
    <t xml:space="preserve">I:N</t>
  </si>
  <si>
    <t xml:space="preserve">A:H</t>
  </si>
  <si>
    <t xml:space="preserve">A:L</t>
  </si>
  <si>
    <t xml:space="preserve">A:N</t>
  </si>
  <si>
    <t xml:space="preserve">CR:X</t>
  </si>
  <si>
    <t xml:space="preserve">CR:H</t>
  </si>
  <si>
    <t xml:space="preserve">CR:M</t>
  </si>
  <si>
    <t xml:space="preserve">Moyen</t>
  </si>
  <si>
    <t xml:space="preserve">CR:L</t>
  </si>
  <si>
    <t xml:space="preserve">IR:X</t>
  </si>
  <si>
    <t xml:space="preserve">IR:H</t>
  </si>
  <si>
    <t xml:space="preserve">IR:M</t>
  </si>
  <si>
    <t xml:space="preserve">IR:L</t>
  </si>
  <si>
    <t xml:space="preserve">AR:X</t>
  </si>
  <si>
    <t xml:space="preserve">AR:H</t>
  </si>
  <si>
    <t xml:space="preserve">AR:M</t>
  </si>
  <si>
    <t xml:space="preserve">AR:L</t>
  </si>
  <si>
    <t xml:space="preserve">PR:U:N</t>
  </si>
  <si>
    <t xml:space="preserve">PR:U:L</t>
  </si>
  <si>
    <t xml:space="preserve">Faibles</t>
  </si>
  <si>
    <t xml:space="preserve">PR:U:H</t>
  </si>
  <si>
    <t xml:space="preserve">Élevés</t>
  </si>
  <si>
    <t xml:space="preserve">PR:C:N</t>
  </si>
  <si>
    <t xml:space="preserve">PR:C:L</t>
  </si>
  <si>
    <t xml:space="preserve">PR:C:H</t>
  </si>
  <si>
    <t xml:space="preserve">S:U</t>
  </si>
  <si>
    <t xml:space="preserve">—</t>
  </si>
  <si>
    <t xml:space="preserve">Inchangée</t>
  </si>
  <si>
    <t xml:space="preserve">S:C</t>
  </si>
  <si>
    <t xml:space="preserve">Changée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</si>
</sst>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0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82536"/>
      <name val="Arial"/>
      <family val="0"/>
      <charset val="1"/>
    </font>
    <font>
      <b val="true"/>
      <sz val="16"/>
      <color rgb="FF182536"/>
      <name val="Arial"/>
      <family val="0"/>
      <charset val="1"/>
    </font>
    <font>
      <sz val="10"/>
      <color rgb="FF182536"/>
      <name val="Arial"/>
      <family val="0"/>
      <charset val="1"/>
    </font>
    <font>
      <sz val="11"/>
      <color rgb="FF725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825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0B3"/>
        <bgColor rgb="FFFFFF99"/>
      </patternFill>
    </fill>
    <fill>
      <patternFill patternType="solid">
        <fgColor rgb="FF263E5B"/>
        <bgColor rgb="FF333399"/>
      </patternFill>
    </fill>
    <fill>
      <patternFill patternType="solid">
        <fgColor rgb="FFE6ECF3"/>
        <bgColor rgb="FFE8EDF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5">
    <dxf>
      <fill>
        <patternFill>
          <bgColor rgb="FFE8EDF2"/>
        </patternFill>
      </fill>
    </dxf>
    <dxf>
      <fill>
        <patternFill>
          <bgColor rgb="FFDDEEDB"/>
        </patternFill>
      </fill>
    </dxf>
    <dxf>
      <fill>
        <patternFill>
          <bgColor rgb="FFFFF0B3"/>
        </patternFill>
      </fill>
    </dxf>
    <dxf>
      <fill>
        <patternFill>
          <bgColor rgb="FFFFDBAF"/>
        </patternFill>
      </fill>
    </dxf>
    <dxf>
      <fill>
        <patternFill>
          <bgColor rgb="FFF7C3C5"/>
        </patternFill>
      </fill>
    </dxf>
    <dxf>
      <fill>
        <patternFill>
          <bgColor rgb="FFE8EDF2"/>
        </patternFill>
      </fill>
    </dxf>
    <dxf>
      <fill>
        <patternFill>
          <bgColor rgb="FFDDEEDB"/>
        </patternFill>
      </fill>
    </dxf>
    <dxf>
      <fill>
        <patternFill>
          <bgColor rgb="FFFFF0B3"/>
        </patternFill>
      </fill>
    </dxf>
    <dxf>
      <fill>
        <patternFill>
          <bgColor rgb="FFFFDBAF"/>
        </patternFill>
      </fill>
    </dxf>
    <dxf>
      <fill>
        <patternFill>
          <bgColor rgb="FFF7C3C5"/>
        </patternFill>
      </fill>
    </dxf>
    <dxf>
      <fill>
        <patternFill>
          <bgColor rgb="FFE8EDF2"/>
        </patternFill>
      </fill>
    </dxf>
    <dxf>
      <fill>
        <patternFill>
          <bgColor rgb="FFDDEEDB"/>
        </patternFill>
      </fill>
    </dxf>
    <dxf>
      <fill>
        <patternFill>
          <bgColor rgb="FFFFF0B3"/>
        </patternFill>
      </fill>
    </dxf>
    <dxf>
      <fill>
        <patternFill>
          <bgColor rgb="FFFFDBAF"/>
        </patternFill>
      </fill>
    </dxf>
    <dxf>
      <fill>
        <patternFill>
          <bgColor rgb="FFF7C3C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7C3C5"/>
      <rgbColor rgb="FF808080"/>
      <rgbColor rgb="FF9999FF"/>
      <rgbColor rgb="FF993366"/>
      <rgbColor rgb="FFFFF0B3"/>
      <rgbColor rgb="FFE6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2"/>
      <rgbColor rgb="FFDDEEDB"/>
      <rgbColor rgb="FFFFFF99"/>
      <rgbColor rgb="FF99CCFF"/>
      <rgbColor rgb="FFFF99CC"/>
      <rgbColor rgb="FFCC99FF"/>
      <rgbColor rgb="FFFFDB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2536"/>
      <rgbColor rgb="FF339966"/>
      <rgbColor rgb="FF003300"/>
      <rgbColor rgb="FF333300"/>
      <rgbColor rgb="FF725000"/>
      <rgbColor rgb="FF993366"/>
      <rgbColor rgb="FF333399"/>
      <rgbColor rgb="FF263E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D18" activeCellId="0" sqref="D18"/>
    </sheetView>
  </sheetViews>
  <sheetFormatPr defaultColWidth="9.53515625" defaultRowHeight="15" customHeight="false" zeroHeight="false" outlineLevelRow="0" outlineLevelCol="0"/>
  <cols>
    <col collapsed="false" customWidth="true" hidden="false" outlineLevel="0" max="1" min="1" style="0" width="10.21"/>
    <col collapsed="false" customWidth="true" hidden="false" outlineLevel="0" max="2" min="2" style="0" width="36.32"/>
    <col collapsed="false" customWidth="true" hidden="false" outlineLevel="0" max="5" min="3" style="0" width="18.16"/>
    <col collapsed="false" customWidth="true" hidden="false" outlineLevel="0" max="6" min="6" style="0" width="3.41"/>
    <col collapsed="false" customWidth="true" hidden="false" outlineLevel="0" max="7" min="7" style="0" width="57.89"/>
    <col collapsed="false" customWidth="true" hidden="false" outlineLevel="0" max="8" min="8" style="0" width="19.3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3" hidden="false" customHeight="true" outlineLevel="0" collapsed="false">
      <c r="A2" s="2" t="s">
        <v>0</v>
      </c>
      <c r="B2" s="1"/>
      <c r="C2" s="1"/>
      <c r="D2" s="1"/>
      <c r="E2" s="3" t="s">
        <v>1</v>
      </c>
      <c r="F2" s="1"/>
      <c r="G2" s="1"/>
      <c r="H2" s="1"/>
      <c r="I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23" hidden="false" customHeight="true" outlineLevel="0" collapsed="false">
      <c r="A4" s="1"/>
      <c r="B4" s="1" t="s">
        <v>2</v>
      </c>
      <c r="C4" s="4" t="s">
        <v>3</v>
      </c>
      <c r="D4" s="1"/>
      <c r="E4" s="1"/>
      <c r="F4" s="1"/>
      <c r="G4" s="5" t="s">
        <v>4</v>
      </c>
      <c r="H4" s="5" t="s">
        <v>5</v>
      </c>
      <c r="I4" s="1"/>
    </row>
    <row r="5" customFormat="false" ht="23" hidden="false" customHeight="true" outlineLevel="0" collapsed="false">
      <c r="A5" s="1"/>
      <c r="D5" s="1"/>
      <c r="E5" s="1"/>
      <c r="F5" s="1"/>
      <c r="G5" s="1" t="s">
        <v>6</v>
      </c>
      <c r="H5" s="6" t="n">
        <f aca="false">H17</f>
        <v>9.6</v>
      </c>
      <c r="I5" s="1"/>
    </row>
    <row r="6" customFormat="false" ht="23" hidden="false" customHeight="true" outlineLevel="0" collapsed="false">
      <c r="A6" s="1"/>
      <c r="B6" s="1"/>
      <c r="C6" s="1"/>
      <c r="D6" s="1"/>
      <c r="E6" s="1"/>
      <c r="F6" s="1"/>
      <c r="G6" s="1"/>
      <c r="H6" s="1" t="str">
        <f aca="false">IF(H5=0,"Nul",IF(H5&lt;4,"Faible",IF(H5&lt;7,"Moyen",IF(H5&lt;9,"Élevé","Critique"))))</f>
        <v>Critique</v>
      </c>
      <c r="I6" s="1"/>
    </row>
    <row r="7" customFormat="false" ht="23" hidden="false" customHeight="true" outlineLevel="0" collapsed="false">
      <c r="A7" s="1" t="s">
        <v>7</v>
      </c>
      <c r="B7" s="1"/>
      <c r="C7" s="1"/>
      <c r="D7" s="1"/>
      <c r="E7" s="1"/>
      <c r="F7" s="1"/>
      <c r="G7" s="1" t="s">
        <v>8</v>
      </c>
      <c r="H7" s="6" t="n">
        <f aca="false">H18</f>
        <v>9.6</v>
      </c>
      <c r="I7" s="1"/>
    </row>
    <row r="8" customFormat="false" ht="23" hidden="false" customHeight="true" outlineLevel="0" collapsed="false">
      <c r="A8" s="1"/>
      <c r="B8" s="1" t="s">
        <v>9</v>
      </c>
      <c r="C8" s="1"/>
      <c r="D8" s="1"/>
      <c r="E8" s="1"/>
      <c r="F8" s="1"/>
      <c r="G8" s="1"/>
      <c r="H8" s="1" t="str">
        <f aca="false">IF(H7=0,"Nul",IF(H7&lt;4,"Faible",IF(H7&lt;7,"Moyen",IF(H7&lt;9,"Élevé","Critique"))))</f>
        <v>Critique</v>
      </c>
      <c r="I8" s="1"/>
    </row>
    <row r="9" customFormat="false" ht="23" hidden="false" customHeight="true" outlineLevel="0" collapsed="false">
      <c r="A9" s="1"/>
      <c r="B9" s="1" t="s">
        <v>10</v>
      </c>
      <c r="C9" s="1"/>
      <c r="D9" s="1"/>
      <c r="E9" s="1"/>
      <c r="F9" s="1"/>
      <c r="G9" s="1" t="s">
        <v>11</v>
      </c>
      <c r="H9" s="6" t="n">
        <f aca="false">H25</f>
        <v>9.7</v>
      </c>
      <c r="I9" s="1"/>
    </row>
    <row r="10" customFormat="false" ht="23" hidden="false" customHeight="true" outlineLevel="0" collapsed="false">
      <c r="A10" s="1"/>
      <c r="B10" s="1" t="s">
        <v>12</v>
      </c>
      <c r="C10" s="1"/>
      <c r="D10" s="1"/>
      <c r="E10" s="1"/>
      <c r="F10" s="1"/>
      <c r="G10" s="1"/>
      <c r="H10" s="1" t="str">
        <f aca="false">IF(H9=0,"Nul",IF(H9&lt;4,"Faible",IF(H9&lt;7,"Moyen",IF(H9&lt;9,"Élevé","Critique"))))</f>
        <v>Critique</v>
      </c>
      <c r="I10" s="1"/>
    </row>
    <row r="11" customFormat="false" ht="23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23" hidden="false" customHeight="true" outlineLevel="0" collapsed="false">
      <c r="A12" s="5" t="s">
        <v>13</v>
      </c>
      <c r="B12" s="5"/>
      <c r="C12" s="5"/>
      <c r="D12" s="5"/>
      <c r="E12" s="5"/>
      <c r="F12" s="1"/>
      <c r="G12" s="5" t="s">
        <v>14</v>
      </c>
      <c r="H12" s="5"/>
      <c r="I12" s="1"/>
    </row>
    <row r="13" customFormat="false" ht="23" hidden="false" customHeight="true" outlineLevel="0" collapsed="false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1"/>
      <c r="G13" s="1"/>
      <c r="H13" s="1"/>
      <c r="I13" s="1"/>
    </row>
    <row r="14" customFormat="false" ht="23" hidden="false" customHeight="true" outlineLevel="0" collapsed="false">
      <c r="A14" s="1" t="s">
        <v>20</v>
      </c>
      <c r="B14" s="1" t="s">
        <v>21</v>
      </c>
      <c r="C14" s="4" t="s">
        <v>22</v>
      </c>
      <c r="D14" s="1" t="str">
        <f aca="false">C14</f>
        <v>N</v>
      </c>
      <c r="E14" s="8" t="n">
        <f aca="false">VLOOKUP("AV:"&amp;D14,'Aide et coefficients'!$A$15:$C$65,2,FALSE())</f>
        <v>0.85</v>
      </c>
      <c r="F14" s="1"/>
      <c r="G14" s="1" t="s">
        <v>23</v>
      </c>
      <c r="H14" s="9" t="n">
        <f aca="false">1-(1-E19)*(1-E20)*(1-E21)</f>
        <v>0.914816</v>
      </c>
      <c r="I14" s="1"/>
    </row>
    <row r="15" customFormat="false" ht="23" hidden="false" customHeight="true" outlineLevel="0" collapsed="false">
      <c r="A15" s="1" t="s">
        <v>24</v>
      </c>
      <c r="B15" s="1" t="s">
        <v>25</v>
      </c>
      <c r="C15" s="4" t="s">
        <v>26</v>
      </c>
      <c r="D15" s="1" t="str">
        <f aca="false">C15</f>
        <v>L</v>
      </c>
      <c r="E15" s="8" t="n">
        <f aca="false">VLOOKUP("AC:"&amp;D15,'Aide et coefficients'!$A$15:$C$65,2,FALSE())</f>
        <v>0.77</v>
      </c>
      <c r="F15" s="1"/>
      <c r="G15" s="1" t="s">
        <v>27</v>
      </c>
      <c r="H15" s="9" t="n">
        <f aca="false">IF(D18="U",6.42*H14,7.52*(H14-0.029)-3.25*(H14-0.02)^15)</f>
        <v>6.04773049154452</v>
      </c>
      <c r="I15" s="1"/>
    </row>
    <row r="16" customFormat="false" ht="23" hidden="false" customHeight="true" outlineLevel="0" collapsed="false">
      <c r="A16" s="1" t="s">
        <v>28</v>
      </c>
      <c r="B16" s="1" t="s">
        <v>29</v>
      </c>
      <c r="C16" s="4" t="s">
        <v>22</v>
      </c>
      <c r="D16" s="1" t="str">
        <f aca="false">C16</f>
        <v>N</v>
      </c>
      <c r="E16" s="8" t="n">
        <f aca="false">VLOOKUP("PR:"&amp;D18&amp;":"&amp;D16,'Aide et coefficients'!$A$15:$C$65,2,FALSE())</f>
        <v>0.85</v>
      </c>
      <c r="F16" s="1"/>
      <c r="G16" s="1" t="s">
        <v>30</v>
      </c>
      <c r="H16" s="9" t="n">
        <f aca="false">8.22*E14*E15*E16*E17</f>
        <v>2.83525473</v>
      </c>
      <c r="I16" s="1"/>
    </row>
    <row r="17" customFormat="false" ht="23" hidden="false" customHeight="true" outlineLevel="0" collapsed="false">
      <c r="A17" s="1" t="s">
        <v>31</v>
      </c>
      <c r="B17" s="1" t="s">
        <v>32</v>
      </c>
      <c r="C17" s="4" t="s">
        <v>33</v>
      </c>
      <c r="D17" s="1" t="str">
        <f aca="false">C17</f>
        <v>R</v>
      </c>
      <c r="E17" s="8" t="n">
        <f aca="false">VLOOKUP("UI:"&amp;D17,'Aide et coefficients'!$A$15:$C$65,2,FALSE())</f>
        <v>0.62</v>
      </c>
      <c r="F17" s="1"/>
      <c r="G17" s="1" t="s">
        <v>34</v>
      </c>
      <c r="H17" s="10" t="n">
        <f aca="false">IF(H15&lt;=0,0,ROUNDUP(ROUND(MIN(IF(D18="C",1.08,1)*(H15+H16),10),5),1))</f>
        <v>9.6</v>
      </c>
      <c r="I17" s="1"/>
    </row>
    <row r="18" customFormat="false" ht="23" hidden="false" customHeight="true" outlineLevel="0" collapsed="false">
      <c r="A18" s="1" t="s">
        <v>35</v>
      </c>
      <c r="B18" s="1" t="s">
        <v>36</v>
      </c>
      <c r="C18" s="4" t="s">
        <v>37</v>
      </c>
      <c r="D18" s="1" t="str">
        <f aca="false">C18</f>
        <v>C</v>
      </c>
      <c r="E18" s="8" t="str">
        <f aca="false">VLOOKUP("S:"&amp;D18,'Aide et coefficients'!$A$15:$C$65,2,FALSE())</f>
        <v>—</v>
      </c>
      <c r="F18" s="1"/>
      <c r="G18" s="1" t="s">
        <v>38</v>
      </c>
      <c r="H18" s="10" t="n">
        <f aca="false">ROUNDUP(ROUND(H17*E24*E25*E26,5),1)</f>
        <v>9.6</v>
      </c>
      <c r="I18" s="1"/>
    </row>
    <row r="19" customFormat="false" ht="23" hidden="false" customHeight="true" outlineLevel="0" collapsed="false">
      <c r="A19" s="1" t="s">
        <v>37</v>
      </c>
      <c r="B19" s="1" t="s">
        <v>39</v>
      </c>
      <c r="C19" s="4" t="s">
        <v>40</v>
      </c>
      <c r="D19" s="1" t="str">
        <f aca="false">C19</f>
        <v>H</v>
      </c>
      <c r="E19" s="8" t="n">
        <f aca="false">VLOOKUP("C:"&amp;D19,'Aide et coefficients'!$A$15:$C$65,2,FALSE())</f>
        <v>0.56</v>
      </c>
      <c r="F19" s="1"/>
      <c r="G19" s="1"/>
      <c r="H19" s="1"/>
      <c r="I19" s="1"/>
    </row>
    <row r="20" customFormat="false" ht="23" hidden="false" customHeight="true" outlineLevel="0" collapsed="false">
      <c r="A20" s="1" t="s">
        <v>41</v>
      </c>
      <c r="B20" s="1" t="s">
        <v>42</v>
      </c>
      <c r="C20" s="4" t="s">
        <v>40</v>
      </c>
      <c r="D20" s="1" t="str">
        <f aca="false">C20</f>
        <v>H</v>
      </c>
      <c r="E20" s="8" t="n">
        <f aca="false">VLOOKUP("I:"&amp;D20,'Aide et coefficients'!$A$15:$C$65,2,FALSE())</f>
        <v>0.56</v>
      </c>
      <c r="F20" s="1"/>
      <c r="G20" s="1" t="s">
        <v>43</v>
      </c>
      <c r="H20" s="9" t="n">
        <f aca="false">MIN(1-(1-E29*E39)*(1-E30*E40)*(1-E31*E41),0.915)</f>
        <v>0.914816</v>
      </c>
      <c r="I20" s="1"/>
    </row>
    <row r="21" customFormat="false" ht="23" hidden="false" customHeight="true" outlineLevel="0" collapsed="false">
      <c r="A21" s="1" t="s">
        <v>44</v>
      </c>
      <c r="B21" s="1" t="s">
        <v>45</v>
      </c>
      <c r="C21" s="4" t="s">
        <v>40</v>
      </c>
      <c r="D21" s="1" t="str">
        <f aca="false">C21</f>
        <v>H</v>
      </c>
      <c r="E21" s="8" t="n">
        <f aca="false">VLOOKUP("A:"&amp;D21,'Aide et coefficients'!$A$15:$C$65,2,FALSE())</f>
        <v>0.56</v>
      </c>
      <c r="F21" s="1"/>
      <c r="G21" s="1" t="s">
        <v>46</v>
      </c>
      <c r="H21" s="9" t="n">
        <f aca="false">IF(D38="U",6.42*H20,IF(C4="CVSS 3.1",7.52*(H20-0.029)-3.25*(H20*0.9731-0.02)^13,7.52*(H20-0.029)-3.25*(H20-0.02)^15))</f>
        <v>6.12802632880998</v>
      </c>
      <c r="I21" s="1"/>
    </row>
    <row r="22" customFormat="false" ht="23" hidden="false" customHeight="true" outlineLevel="0" collapsed="false">
      <c r="A22" s="5" t="s">
        <v>47</v>
      </c>
      <c r="B22" s="5"/>
      <c r="C22" s="5"/>
      <c r="D22" s="5"/>
      <c r="E22" s="5"/>
      <c r="F22" s="1"/>
      <c r="G22" s="1" t="s">
        <v>48</v>
      </c>
      <c r="H22" s="9" t="n">
        <f aca="false">8.22*E34*E35*E36*E37</f>
        <v>2.83525473</v>
      </c>
      <c r="I22" s="1"/>
    </row>
    <row r="23" customFormat="false" ht="23" hidden="false" customHeight="true" outlineLevel="0" collapsed="false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  <c r="F23" s="1"/>
      <c r="G23" s="1" t="s">
        <v>49</v>
      </c>
      <c r="H23" s="9" t="n">
        <f aca="false">MIN(IF(D38="C",1.08,1)*(H21+H22),10)</f>
        <v>9.68034354351478</v>
      </c>
      <c r="I23" s="1"/>
    </row>
    <row r="24" customFormat="false" ht="23" hidden="false" customHeight="true" outlineLevel="0" collapsed="false">
      <c r="A24" s="1" t="s">
        <v>50</v>
      </c>
      <c r="B24" s="1" t="s">
        <v>51</v>
      </c>
      <c r="C24" s="4" t="s">
        <v>52</v>
      </c>
      <c r="D24" s="1" t="str">
        <f aca="false">C24</f>
        <v>x</v>
      </c>
      <c r="E24" s="8" t="n">
        <f aca="false">VLOOKUP("E:"&amp;D24,'Aide et coefficients'!$A$15:$C$65,2,FALSE())</f>
        <v>1</v>
      </c>
      <c r="F24" s="1"/>
      <c r="G24" s="1" t="s">
        <v>53</v>
      </c>
      <c r="H24" s="10" t="n">
        <f aca="false">ROUNDUP(ROUND(H23,5),1)</f>
        <v>9.7</v>
      </c>
      <c r="I24" s="1"/>
    </row>
    <row r="25" customFormat="false" ht="23" hidden="false" customHeight="true" outlineLevel="0" collapsed="false">
      <c r="A25" s="1" t="s">
        <v>54</v>
      </c>
      <c r="B25" s="1" t="s">
        <v>55</v>
      </c>
      <c r="C25" s="4" t="s">
        <v>56</v>
      </c>
      <c r="D25" s="1" t="str">
        <f aca="false">C25</f>
        <v>X</v>
      </c>
      <c r="E25" s="8" t="n">
        <f aca="false">VLOOKUP("RL:"&amp;D25,'Aide et coefficients'!$A$15:$C$65,2,FALSE())</f>
        <v>1</v>
      </c>
      <c r="F25" s="1"/>
      <c r="G25" s="1" t="s">
        <v>57</v>
      </c>
      <c r="H25" s="10" t="n">
        <f aca="false">IF(H21&lt;=0,0,ROUNDUP(ROUND(H24*E24*E25*E26,5),1))</f>
        <v>9.7</v>
      </c>
      <c r="I25" s="1"/>
    </row>
    <row r="26" customFormat="false" ht="23" hidden="false" customHeight="true" outlineLevel="0" collapsed="false">
      <c r="A26" s="1" t="s">
        <v>58</v>
      </c>
      <c r="B26" s="1" t="s">
        <v>59</v>
      </c>
      <c r="C26" s="4" t="s">
        <v>52</v>
      </c>
      <c r="D26" s="1" t="str">
        <f aca="false">C26</f>
        <v>x</v>
      </c>
      <c r="E26" s="8" t="n">
        <f aca="false">VLOOKUP("RC:"&amp;D26,'Aide et coefficients'!$A$15:$C$65,2,FALSE())</f>
        <v>1</v>
      </c>
      <c r="F26" s="1"/>
      <c r="G26" s="1"/>
      <c r="H26" s="1"/>
      <c r="I26" s="1"/>
    </row>
    <row r="27" customFormat="false" ht="23" hidden="false" customHeight="true" outlineLevel="0" collapsed="false">
      <c r="A27" s="5" t="s">
        <v>60</v>
      </c>
      <c r="B27" s="5"/>
      <c r="C27" s="5"/>
      <c r="D27" s="5"/>
      <c r="E27" s="5"/>
      <c r="F27" s="1"/>
      <c r="G27" s="1"/>
      <c r="H27" s="1"/>
      <c r="I27" s="1"/>
    </row>
    <row r="28" customFormat="false" ht="23" hidden="false" customHeight="true" outlineLevel="0" collapsed="false">
      <c r="A28" s="7" t="s">
        <v>15</v>
      </c>
      <c r="B28" s="7" t="s">
        <v>16</v>
      </c>
      <c r="C28" s="7" t="s">
        <v>17</v>
      </c>
      <c r="D28" s="7" t="s">
        <v>18</v>
      </c>
      <c r="E28" s="7" t="s">
        <v>19</v>
      </c>
      <c r="F28" s="1"/>
      <c r="G28" s="1"/>
      <c r="H28" s="1"/>
      <c r="I28" s="1"/>
    </row>
    <row r="29" customFormat="false" ht="23" hidden="false" customHeight="true" outlineLevel="0" collapsed="false">
      <c r="A29" s="1" t="s">
        <v>61</v>
      </c>
      <c r="B29" s="1" t="s">
        <v>62</v>
      </c>
      <c r="C29" s="4" t="s">
        <v>56</v>
      </c>
      <c r="D29" s="1" t="str">
        <f aca="false">C29</f>
        <v>X</v>
      </c>
      <c r="E29" s="8" t="n">
        <f aca="false">VLOOKUP("CR:"&amp;D29,'Aide et coefficients'!$A$15:$C$65,2,FALSE())</f>
        <v>1</v>
      </c>
      <c r="F29" s="1"/>
      <c r="G29" s="1"/>
      <c r="H29" s="1"/>
      <c r="I29" s="1"/>
    </row>
    <row r="30" customFormat="false" ht="23" hidden="false" customHeight="true" outlineLevel="0" collapsed="false">
      <c r="A30" s="1" t="s">
        <v>63</v>
      </c>
      <c r="B30" s="1" t="s">
        <v>64</v>
      </c>
      <c r="C30" s="4" t="s">
        <v>56</v>
      </c>
      <c r="D30" s="1" t="str">
        <f aca="false">C30</f>
        <v>X</v>
      </c>
      <c r="E30" s="8" t="n">
        <f aca="false">VLOOKUP("IR:"&amp;D30,'Aide et coefficients'!$A$15:$C$65,2,FALSE())</f>
        <v>1</v>
      </c>
      <c r="F30" s="1"/>
      <c r="G30" s="1"/>
      <c r="H30" s="1"/>
      <c r="I30" s="1"/>
    </row>
    <row r="31" customFormat="false" ht="23" hidden="false" customHeight="true" outlineLevel="0" collapsed="false">
      <c r="A31" s="1" t="s">
        <v>65</v>
      </c>
      <c r="B31" s="1" t="s">
        <v>66</v>
      </c>
      <c r="C31" s="4" t="s">
        <v>56</v>
      </c>
      <c r="D31" s="1" t="str">
        <f aca="false">C31</f>
        <v>X</v>
      </c>
      <c r="E31" s="8" t="n">
        <f aca="false">VLOOKUP("AR:"&amp;D31,'Aide et coefficients'!$A$15:$C$65,2,FALSE())</f>
        <v>1</v>
      </c>
      <c r="F31" s="1"/>
      <c r="G31" s="1"/>
      <c r="H31" s="1"/>
      <c r="I31" s="1"/>
    </row>
    <row r="32" customFormat="false" ht="23" hidden="false" customHeight="true" outlineLevel="0" collapsed="false">
      <c r="A32" s="5" t="s">
        <v>67</v>
      </c>
      <c r="B32" s="5"/>
      <c r="C32" s="5"/>
      <c r="D32" s="5"/>
      <c r="E32" s="5"/>
      <c r="F32" s="1"/>
      <c r="G32" s="1"/>
      <c r="H32" s="1"/>
      <c r="I32" s="1"/>
    </row>
    <row r="33" customFormat="false" ht="23" hidden="false" customHeight="true" outlineLevel="0" collapsed="false">
      <c r="A33" s="7" t="s">
        <v>15</v>
      </c>
      <c r="B33" s="7" t="s">
        <v>16</v>
      </c>
      <c r="C33" s="7" t="s">
        <v>17</v>
      </c>
      <c r="D33" s="7" t="s">
        <v>18</v>
      </c>
      <c r="E33" s="7" t="s">
        <v>19</v>
      </c>
      <c r="F33" s="1"/>
      <c r="G33" s="1"/>
      <c r="H33" s="1"/>
      <c r="I33" s="1"/>
    </row>
    <row r="34" customFormat="false" ht="23" hidden="false" customHeight="true" outlineLevel="0" collapsed="false">
      <c r="A34" s="1" t="s">
        <v>68</v>
      </c>
      <c r="B34" s="1" t="s">
        <v>69</v>
      </c>
      <c r="C34" s="4" t="s">
        <v>56</v>
      </c>
      <c r="D34" s="1" t="str">
        <f aca="false">IF(C34="X",D14,C34)</f>
        <v>N</v>
      </c>
      <c r="E34" s="8" t="n">
        <f aca="false">VLOOKUP("AV:"&amp;D34,'Aide et coefficients'!$A$15:$C$65,2,FALSE())</f>
        <v>0.85</v>
      </c>
      <c r="F34" s="1"/>
      <c r="G34" s="1"/>
      <c r="H34" s="1"/>
      <c r="I34" s="1"/>
    </row>
    <row r="35" customFormat="false" ht="23" hidden="false" customHeight="true" outlineLevel="0" collapsed="false">
      <c r="A35" s="1" t="s">
        <v>70</v>
      </c>
      <c r="B35" s="1" t="s">
        <v>71</v>
      </c>
      <c r="C35" s="4" t="s">
        <v>56</v>
      </c>
      <c r="D35" s="1" t="str">
        <f aca="false">IF(C35="X",D15,C35)</f>
        <v>L</v>
      </c>
      <c r="E35" s="8" t="n">
        <f aca="false">VLOOKUP("AC:"&amp;D35,'Aide et coefficients'!$A$15:$C$65,2,FALSE())</f>
        <v>0.77</v>
      </c>
      <c r="F35" s="1"/>
      <c r="G35" s="1" t="s">
        <v>72</v>
      </c>
      <c r="H35" s="1"/>
      <c r="I35" s="1"/>
    </row>
    <row r="36" customFormat="false" ht="23" hidden="false" customHeight="true" outlineLevel="0" collapsed="false">
      <c r="A36" s="1" t="s">
        <v>73</v>
      </c>
      <c r="B36" s="1" t="s">
        <v>74</v>
      </c>
      <c r="C36" s="4" t="s">
        <v>56</v>
      </c>
      <c r="D36" s="1" t="str">
        <f aca="false">IF(C36="X",D16,C36)</f>
        <v>N</v>
      </c>
      <c r="E36" s="8" t="n">
        <f aca="false">VLOOKUP("PR:"&amp;D38&amp;":"&amp;D36,'Aide et coefficients'!$A$15:$C$65,2,FALSE())</f>
        <v>0.85</v>
      </c>
      <c r="F36" s="1"/>
      <c r="G36" s="1"/>
      <c r="H36" s="1"/>
      <c r="I36" s="1"/>
    </row>
    <row r="37" customFormat="false" ht="23" hidden="false" customHeight="true" outlineLevel="0" collapsed="false">
      <c r="A37" s="1" t="s">
        <v>75</v>
      </c>
      <c r="B37" s="1" t="s">
        <v>76</v>
      </c>
      <c r="C37" s="4" t="s">
        <v>56</v>
      </c>
      <c r="D37" s="1" t="str">
        <f aca="false">IF(C37="X",D17,C37)</f>
        <v>R</v>
      </c>
      <c r="E37" s="8" t="n">
        <f aca="false">VLOOKUP("UI:"&amp;D37,'Aide et coefficients'!$A$15:$C$65,2,FALSE())</f>
        <v>0.62</v>
      </c>
      <c r="F37" s="1"/>
      <c r="G37" s="1" t="s">
        <v>77</v>
      </c>
      <c r="H37" s="1"/>
      <c r="I37" s="1"/>
    </row>
    <row r="38" customFormat="false" ht="23" hidden="false" customHeight="true" outlineLevel="0" collapsed="false">
      <c r="A38" s="1" t="s">
        <v>78</v>
      </c>
      <c r="B38" s="1" t="s">
        <v>79</v>
      </c>
      <c r="C38" s="4" t="s">
        <v>56</v>
      </c>
      <c r="D38" s="1" t="str">
        <f aca="false">IF(C38="X",D18,C38)</f>
        <v>C</v>
      </c>
      <c r="E38" s="8" t="str">
        <f aca="false">VLOOKUP("S:"&amp;D38,'Aide et coefficients'!$A$15:$C$65,2,FALSE())</f>
        <v>—</v>
      </c>
      <c r="F38" s="1"/>
      <c r="G38" s="1"/>
      <c r="H38" s="1"/>
      <c r="I38" s="1"/>
    </row>
    <row r="39" customFormat="false" ht="23" hidden="false" customHeight="true" outlineLevel="0" collapsed="false">
      <c r="A39" s="1" t="s">
        <v>80</v>
      </c>
      <c r="B39" s="1" t="s">
        <v>81</v>
      </c>
      <c r="C39" s="4" t="s">
        <v>56</v>
      </c>
      <c r="D39" s="1" t="str">
        <f aca="false">IF(C39="X",D19,C39)</f>
        <v>H</v>
      </c>
      <c r="E39" s="8" t="n">
        <f aca="false">VLOOKUP("C:"&amp;D39,'Aide et coefficients'!$A$15:$C$65,2,FALSE())</f>
        <v>0.56</v>
      </c>
      <c r="F39" s="1"/>
      <c r="G39" s="1" t="s">
        <v>82</v>
      </c>
      <c r="H39" s="1"/>
      <c r="I39" s="1"/>
    </row>
    <row r="40" customFormat="false" ht="23" hidden="false" customHeight="true" outlineLevel="0" collapsed="false">
      <c r="A40" s="1" t="s">
        <v>83</v>
      </c>
      <c r="B40" s="1" t="s">
        <v>84</v>
      </c>
      <c r="C40" s="4" t="s">
        <v>56</v>
      </c>
      <c r="D40" s="1" t="str">
        <f aca="false">IF(C40="X",D20,C40)</f>
        <v>H</v>
      </c>
      <c r="E40" s="8" t="n">
        <f aca="false">VLOOKUP("I:"&amp;D40,'Aide et coefficients'!$A$15:$C$65,2,FALSE())</f>
        <v>0.56</v>
      </c>
      <c r="F40" s="1"/>
      <c r="G40" s="1"/>
      <c r="H40" s="1"/>
      <c r="I40" s="1"/>
    </row>
    <row r="41" customFormat="false" ht="23" hidden="false" customHeight="true" outlineLevel="0" collapsed="false">
      <c r="A41" s="1" t="s">
        <v>85</v>
      </c>
      <c r="B41" s="1" t="s">
        <v>86</v>
      </c>
      <c r="C41" s="4" t="s">
        <v>56</v>
      </c>
      <c r="D41" s="1" t="str">
        <f aca="false">IF(C41="X",D21,C41)</f>
        <v>H</v>
      </c>
      <c r="E41" s="8" t="n">
        <f aca="false">VLOOKUP("A:"&amp;D41,'Aide et coefficients'!$A$15:$C$65,2,FALSE())</f>
        <v>0.56</v>
      </c>
      <c r="F41" s="1"/>
      <c r="G41" s="1" t="s">
        <v>87</v>
      </c>
      <c r="H41" s="1"/>
      <c r="I41" s="1"/>
    </row>
    <row r="42" customFormat="false" ht="2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2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23" hidden="false" customHeight="true" outlineLevel="0" collapsed="false">
      <c r="A44" s="1"/>
      <c r="B44" s="1"/>
      <c r="C44" s="1"/>
      <c r="D44" s="1"/>
      <c r="E44" s="1"/>
      <c r="F44" s="1"/>
      <c r="G44" s="5" t="s">
        <v>88</v>
      </c>
      <c r="H44" s="5"/>
      <c r="I44" s="1"/>
    </row>
    <row r="45" customFormat="false" ht="58" hidden="false" customHeight="true" outlineLevel="0" collapsed="false">
      <c r="A45" s="1"/>
      <c r="B45" s="1"/>
      <c r="C45" s="1"/>
      <c r="D45" s="1"/>
      <c r="E45" s="1"/>
      <c r="F45" s="1"/>
      <c r="G45" s="11" t="str">
        <f aca="false">"CVSS:"&amp;IF(C4="CVSS 3.1","3.1","3.0")&amp;"/AV:"&amp;C14&amp;"/AC:"&amp;C15&amp;"/PR:"&amp;C16&amp;"/UI:"&amp;C17&amp;"/S:"&amp;C18&amp;"/C:"&amp;C19&amp;"/I:"&amp;C20&amp;"/A:"&amp;C21</f>
        <v>CVSS:3.1/AV:N/AC:L/PR:N/UI:R/S:C/C:H/I:H/A:H</v>
      </c>
      <c r="H45" s="1"/>
      <c r="I45" s="1"/>
    </row>
    <row r="46" customFormat="false" ht="23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23" hidden="false" customHeight="true" outlineLevel="0" collapsed="false">
      <c r="A47" s="1"/>
      <c r="B47" s="1"/>
      <c r="C47" s="1"/>
      <c r="D47" s="1"/>
      <c r="E47" s="1"/>
      <c r="F47" s="1"/>
      <c r="G47" s="5" t="s">
        <v>89</v>
      </c>
      <c r="H47" s="5"/>
      <c r="I47" s="1"/>
    </row>
    <row r="48" customFormat="false" ht="85" hidden="false" customHeight="true" outlineLevel="0" collapsed="false">
      <c r="A48" s="1"/>
      <c r="B48" s="1"/>
      <c r="C48" s="1"/>
      <c r="D48" s="1"/>
      <c r="E48" s="1"/>
      <c r="F48" s="1"/>
      <c r="G48" s="11" t="str">
        <f aca="false">"CVSS:"&amp;IF(C4="CVSS 3.1","3.1","3.0")&amp;"/AV:"&amp;C14&amp;"/AC:"&amp;C15&amp;"/PR:"&amp;C16&amp;"/UI:"&amp;C17&amp;"/S:"&amp;C18&amp;"/C:"&amp;C19&amp;"/I:"&amp;C20&amp;"/A:"&amp;C21&amp;"/E:"&amp;C24&amp;"/RL:"&amp;C25&amp;"/RC:"&amp;C26&amp;"/CR:"&amp;C29&amp;"/IR:"&amp;C30&amp;"/AR:"&amp;C31&amp;"/MAV:"&amp;C34&amp;"/MAC:"&amp;C35&amp;"/MPR:"&amp;C36&amp;"/MUI:"&amp;C37&amp;"/MS:"&amp;C38&amp;"/MC:"&amp;C39&amp;"/MI:"&amp;C40&amp;"/MA:"&amp;C41</f>
        <v>CVSS:3.1/AV:N/AC:L/PR:N/UI:R/S:C/C:H/I:H/A:H/E:x/RL:X/RC:x/CR:X/IR:X/AR:X/MAV:X/MAC:X/MPR:X/MUI:X/MS:X/MC:X/MI:X/MA:X</v>
      </c>
      <c r="H48" s="1"/>
      <c r="I48" s="1"/>
    </row>
    <row r="49" customFormat="false" ht="23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23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2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23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23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23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23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23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23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23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23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23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23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23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23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23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23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23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23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23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23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23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2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2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23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23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2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23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2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2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2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2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2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2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23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23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2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23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23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23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23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23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</row>
  </sheetData>
  <conditionalFormatting sqref="H5">
    <cfRule type="cellIs" priority="2" operator="between" aboveAverage="0" equalAverage="0" bottom="0" percent="0" rank="0" text="" dxfId="0">
      <formula>0</formula>
      <formula>0</formula>
    </cfRule>
    <cfRule type="cellIs" priority="3" operator="between" aboveAverage="0" equalAverage="0" bottom="0" percent="0" rank="0" text="" dxfId="1">
      <formula>0.1</formula>
      <formula>3.9</formula>
    </cfRule>
    <cfRule type="cellIs" priority="4" operator="between" aboveAverage="0" equalAverage="0" bottom="0" percent="0" rank="0" text="" dxfId="2">
      <formula>4</formula>
      <formula>6.9</formula>
    </cfRule>
    <cfRule type="cellIs" priority="5" operator="between" aboveAverage="0" equalAverage="0" bottom="0" percent="0" rank="0" text="" dxfId="3">
      <formula>7</formula>
      <formula>8.9</formula>
    </cfRule>
    <cfRule type="cellIs" priority="6" operator="between" aboveAverage="0" equalAverage="0" bottom="0" percent="0" rank="0" text="" dxfId="4">
      <formula>9</formula>
      <formula>10</formula>
    </cfRule>
  </conditionalFormatting>
  <conditionalFormatting sqref="H7">
    <cfRule type="cellIs" priority="7" operator="between" aboveAverage="0" equalAverage="0" bottom="0" percent="0" rank="0" text="" dxfId="5">
      <formula>0</formula>
      <formula>0</formula>
    </cfRule>
    <cfRule type="cellIs" priority="8" operator="between" aboveAverage="0" equalAverage="0" bottom="0" percent="0" rank="0" text="" dxfId="6">
      <formula>0.1</formula>
      <formula>3.9</formula>
    </cfRule>
    <cfRule type="cellIs" priority="9" operator="between" aboveAverage="0" equalAverage="0" bottom="0" percent="0" rank="0" text="" dxfId="7">
      <formula>4</formula>
      <formula>6.9</formula>
    </cfRule>
    <cfRule type="cellIs" priority="10" operator="between" aboveAverage="0" equalAverage="0" bottom="0" percent="0" rank="0" text="" dxfId="8">
      <formula>7</formula>
      <formula>8.9</formula>
    </cfRule>
    <cfRule type="cellIs" priority="11" operator="between" aboveAverage="0" equalAverage="0" bottom="0" percent="0" rank="0" text="" dxfId="9">
      <formula>9</formula>
      <formula>10</formula>
    </cfRule>
  </conditionalFormatting>
  <conditionalFormatting sqref="H9">
    <cfRule type="cellIs" priority="12" operator="between" aboveAverage="0" equalAverage="0" bottom="0" percent="0" rank="0" text="" dxfId="10">
      <formula>0</formula>
      <formula>0</formula>
    </cfRule>
    <cfRule type="cellIs" priority="13" operator="between" aboveAverage="0" equalAverage="0" bottom="0" percent="0" rank="0" text="" dxfId="11">
      <formula>0.1</formula>
      <formula>3.9</formula>
    </cfRule>
    <cfRule type="cellIs" priority="14" operator="between" aboveAverage="0" equalAverage="0" bottom="0" percent="0" rank="0" text="" dxfId="12">
      <formula>4</formula>
      <formula>6.9</formula>
    </cfRule>
    <cfRule type="cellIs" priority="15" operator="between" aboveAverage="0" equalAverage="0" bottom="0" percent="0" rank="0" text="" dxfId="13">
      <formula>7</formula>
      <formula>8.9</formula>
    </cfRule>
    <cfRule type="cellIs" priority="16" operator="between" aboveAverage="0" equalAverage="0" bottom="0" percent="0" rank="0" text="" dxfId="14">
      <formula>9</formula>
      <formula>10</formula>
    </cfRule>
  </conditionalFormatting>
  <dataValidations count="23">
    <dataValidation allowBlank="false" errorStyle="stop" operator="between" showDropDown="false" showErrorMessage="false" showInputMessage="false" sqref="C4" type="list">
      <formula1>"CVSS 3.0,CVSS 3.1"</formula1>
      <formula2>0</formula2>
    </dataValidation>
    <dataValidation allowBlank="false" errorStyle="stop" operator="between" showDropDown="false" showErrorMessage="false" showInputMessage="false" sqref="C14" type="list">
      <formula1>"N,A,L,P"</formula1>
      <formula2>0</formula2>
    </dataValidation>
    <dataValidation allowBlank="false" errorStyle="stop" operator="between" showDropDown="false" showErrorMessage="false" showInputMessage="false" sqref="C15" type="list">
      <formula1>"L,H"</formula1>
      <formula2>0</formula2>
    </dataValidation>
    <dataValidation allowBlank="false" errorStyle="stop" operator="between" showDropDown="false" showErrorMessage="false" showInputMessage="false" sqref="C16" type="list">
      <formula1>"N,L,H"</formula1>
      <formula2>0</formula2>
    </dataValidation>
    <dataValidation allowBlank="false" errorStyle="stop" operator="between" showDropDown="false" showErrorMessage="false" showInputMessage="false" sqref="C17" type="list">
      <formula1>"N,R"</formula1>
      <formula2>0</formula2>
    </dataValidation>
    <dataValidation allowBlank="false" errorStyle="stop" operator="between" showDropDown="false" showErrorMessage="false" showInputMessage="false" sqref="C18" type="list">
      <formula1>"U,C"</formula1>
      <formula2>0</formula2>
    </dataValidation>
    <dataValidation allowBlank="false" errorStyle="stop" operator="between" showDropDown="false" showErrorMessage="false" showInputMessage="false" sqref="C19" type="list">
      <formula1>"H,L,N"</formula1>
      <formula2>0</formula2>
    </dataValidation>
    <dataValidation allowBlank="false" errorStyle="stop" operator="between" showDropDown="false" showErrorMessage="false" showInputMessage="false" sqref="C20" type="list">
      <formula1>"H,L,N"</formula1>
      <formula2>0</formula2>
    </dataValidation>
    <dataValidation allowBlank="false" errorStyle="stop" operator="between" showDropDown="false" showErrorMessage="false" showInputMessage="false" sqref="C21" type="list">
      <formula1>"H,L,N"</formula1>
      <formula2>0</formula2>
    </dataValidation>
    <dataValidation allowBlank="false" errorStyle="stop" operator="between" showDropDown="false" showErrorMessage="false" showInputMessage="false" sqref="C24" type="list">
      <formula1>"X,H,F,P,U"</formula1>
      <formula2>0</formula2>
    </dataValidation>
    <dataValidation allowBlank="false" errorStyle="stop" operator="between" showDropDown="false" showErrorMessage="false" showInputMessage="false" sqref="C25" type="list">
      <formula1>"X,U,W,T,O"</formula1>
      <formula2>0</formula2>
    </dataValidation>
    <dataValidation allowBlank="false" errorStyle="stop" operator="between" showDropDown="false" showErrorMessage="false" showInputMessage="false" sqref="C26" type="list">
      <formula1>"X,C,R,U"</formula1>
      <formula2>0</formula2>
    </dataValidation>
    <dataValidation allowBlank="false" errorStyle="stop" operator="between" showDropDown="false" showErrorMessage="false" showInputMessage="false" sqref="C29" type="list">
      <formula1>"X,H,M,L"</formula1>
      <formula2>0</formula2>
    </dataValidation>
    <dataValidation allowBlank="false" errorStyle="stop" operator="between" showDropDown="false" showErrorMessage="false" showInputMessage="false" sqref="C30" type="list">
      <formula1>"X,H,M,L"</formula1>
      <formula2>0</formula2>
    </dataValidation>
    <dataValidation allowBlank="false" errorStyle="stop" operator="between" showDropDown="false" showErrorMessage="false" showInputMessage="false" sqref="C31" type="list">
      <formula1>"X,H,M,L"</formula1>
      <formula2>0</formula2>
    </dataValidation>
    <dataValidation allowBlank="false" errorStyle="stop" operator="between" showDropDown="false" showErrorMessage="false" showInputMessage="false" sqref="C34" type="list">
      <formula1>"X,N,A,L,P"</formula1>
      <formula2>0</formula2>
    </dataValidation>
    <dataValidation allowBlank="false" errorStyle="stop" operator="between" showDropDown="false" showErrorMessage="false" showInputMessage="false" sqref="C35" type="list">
      <formula1>"X,L,H"</formula1>
      <formula2>0</formula2>
    </dataValidation>
    <dataValidation allowBlank="false" errorStyle="stop" operator="between" showDropDown="false" showErrorMessage="false" showInputMessage="false" sqref="C36" type="list">
      <formula1>"X,N,L,H"</formula1>
      <formula2>0</formula2>
    </dataValidation>
    <dataValidation allowBlank="false" errorStyle="stop" operator="between" showDropDown="false" showErrorMessage="false" showInputMessage="false" sqref="C37" type="list">
      <formula1>"X,N,R"</formula1>
      <formula2>0</formula2>
    </dataValidation>
    <dataValidation allowBlank="false" errorStyle="stop" operator="between" showDropDown="false" showErrorMessage="false" showInputMessage="false" sqref="C38" type="list">
      <formula1>"X,U,C"</formula1>
      <formula2>0</formula2>
    </dataValidation>
    <dataValidation allowBlank="false" errorStyle="stop" operator="between" showDropDown="false" showErrorMessage="false" showInputMessage="false" sqref="C39" type="list">
      <formula1>"X,H,L,N"</formula1>
      <formula2>0</formula2>
    </dataValidation>
    <dataValidation allowBlank="false" errorStyle="stop" operator="between" showDropDown="false" showErrorMessage="false" showInputMessage="false" sqref="C40" type="list">
      <formula1>"X,H,L,N"</formula1>
      <formula2>0</formula2>
    </dataValidation>
    <dataValidation allowBlank="false" errorStyle="stop" operator="between" showDropDown="false" showErrorMessage="false" showInputMessage="false" sqref="C41" type="list">
      <formula1>"X,H,L,N"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53515625" defaultRowHeight="15" customHeight="false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8.16"/>
    <col collapsed="false" customWidth="true" hidden="false" outlineLevel="0" max="3" min="3" style="0" width="43.14"/>
    <col collapsed="false" customWidth="true" hidden="false" outlineLevel="0" max="4" min="4" style="0" width="3.41"/>
    <col collapsed="false" customWidth="true" hidden="false" outlineLevel="0" max="5" min="5" style="0" width="102.16"/>
  </cols>
  <sheetData>
    <row r="1" customFormat="false" ht="23" hidden="false" customHeight="true" outlineLevel="0" collapsed="false">
      <c r="A1" s="1"/>
      <c r="B1" s="1"/>
      <c r="C1" s="1"/>
      <c r="D1" s="1"/>
      <c r="F1" s="1"/>
      <c r="G1" s="1"/>
      <c r="H1" s="1"/>
      <c r="I1" s="1"/>
    </row>
    <row r="2" customFormat="false" ht="23" hidden="false" customHeight="true" outlineLevel="0" collapsed="false">
      <c r="A2" s="2" t="s">
        <v>90</v>
      </c>
      <c r="B2" s="1"/>
      <c r="C2" s="1"/>
      <c r="D2" s="1"/>
      <c r="E2" s="12" t="s">
        <v>91</v>
      </c>
      <c r="F2" s="1"/>
      <c r="G2" s="1"/>
      <c r="H2" s="1"/>
      <c r="I2" s="1"/>
    </row>
    <row r="3" customFormat="false" ht="23" hidden="false" customHeight="true" outlineLevel="0" collapsed="false">
      <c r="A3" s="1"/>
      <c r="B3" s="1"/>
      <c r="C3" s="1"/>
      <c r="D3" s="1"/>
      <c r="E3" s="13" t="s">
        <v>92</v>
      </c>
      <c r="F3" s="1"/>
      <c r="G3" s="1"/>
      <c r="H3" s="1"/>
      <c r="I3" s="1"/>
    </row>
    <row r="4" customFormat="false" ht="34" hidden="false" customHeight="true" outlineLevel="0" collapsed="false">
      <c r="A4" s="1"/>
      <c r="B4" s="1"/>
      <c r="C4" s="1"/>
      <c r="D4" s="1"/>
      <c r="E4" s="13" t="s">
        <v>93</v>
      </c>
      <c r="F4" s="1"/>
      <c r="G4" s="1"/>
      <c r="H4" s="1"/>
      <c r="I4" s="1"/>
    </row>
    <row r="5" customFormat="false" ht="34" hidden="false" customHeight="true" outlineLevel="0" collapsed="false">
      <c r="A5" s="1" t="s">
        <v>94</v>
      </c>
      <c r="B5" s="1"/>
      <c r="C5" s="1"/>
      <c r="D5" s="1"/>
      <c r="E5" s="13" t="s">
        <v>95</v>
      </c>
      <c r="F5" s="1"/>
      <c r="G5" s="1"/>
      <c r="H5" s="1"/>
      <c r="I5" s="1"/>
    </row>
    <row r="6" customFormat="false" ht="34" hidden="false" customHeight="true" outlineLevel="0" collapsed="false">
      <c r="A6" s="1" t="s">
        <v>96</v>
      </c>
      <c r="B6" s="1"/>
      <c r="C6" s="1"/>
      <c r="D6" s="1"/>
      <c r="E6" s="13" t="s">
        <v>97</v>
      </c>
      <c r="F6" s="1"/>
      <c r="G6" s="1"/>
      <c r="H6" s="1"/>
      <c r="I6" s="1"/>
    </row>
    <row r="7" customFormat="false" ht="34" hidden="false" customHeight="true" outlineLevel="0" collapsed="false">
      <c r="A7" s="1"/>
      <c r="B7" s="1"/>
      <c r="C7" s="1"/>
      <c r="D7" s="1"/>
      <c r="E7" s="13" t="s">
        <v>98</v>
      </c>
      <c r="F7" s="1"/>
      <c r="G7" s="1"/>
      <c r="H7" s="1"/>
      <c r="I7" s="1"/>
    </row>
    <row r="8" customFormat="false" ht="34" hidden="false" customHeight="true" outlineLevel="0" collapsed="false">
      <c r="A8" s="1" t="s">
        <v>99</v>
      </c>
      <c r="B8" s="1"/>
      <c r="C8" s="1"/>
      <c r="D8" s="1"/>
      <c r="E8" s="13" t="s">
        <v>100</v>
      </c>
      <c r="F8" s="1"/>
      <c r="G8" s="1"/>
      <c r="H8" s="1"/>
      <c r="I8" s="1"/>
    </row>
    <row r="9" customFormat="false" ht="34" hidden="false" customHeight="true" outlineLevel="0" collapsed="false">
      <c r="A9" s="1"/>
      <c r="B9" s="1"/>
      <c r="C9" s="1"/>
      <c r="D9" s="1"/>
      <c r="E9" s="13" t="s">
        <v>101</v>
      </c>
      <c r="F9" s="1"/>
      <c r="G9" s="1"/>
      <c r="H9" s="1"/>
      <c r="I9" s="1"/>
    </row>
    <row r="10" customFormat="false" ht="34" hidden="false" customHeight="true" outlineLevel="0" collapsed="false">
      <c r="A10" s="1"/>
      <c r="B10" s="1"/>
      <c r="C10" s="1"/>
      <c r="D10" s="1"/>
      <c r="F10" s="1"/>
      <c r="G10" s="1"/>
      <c r="H10" s="1"/>
      <c r="I10" s="1"/>
    </row>
    <row r="11" customFormat="false" ht="34" hidden="false" customHeight="true" outlineLevel="0" collapsed="false">
      <c r="A11" s="1"/>
      <c r="B11" s="1"/>
      <c r="C11" s="1"/>
      <c r="D11" s="1"/>
      <c r="F11" s="1"/>
      <c r="G11" s="1"/>
      <c r="H11" s="1"/>
      <c r="I11" s="1"/>
    </row>
    <row r="12" customFormat="false" ht="34" hidden="false" customHeight="true" outlineLevel="0" collapsed="false">
      <c r="A12" s="1" t="s">
        <v>102</v>
      </c>
      <c r="B12" s="1"/>
      <c r="C12" s="1"/>
      <c r="D12" s="1"/>
      <c r="F12" s="1"/>
      <c r="G12" s="1"/>
      <c r="H12" s="1"/>
      <c r="I12" s="1"/>
    </row>
    <row r="13" customFormat="false" ht="34" hidden="false" customHeight="true" outlineLevel="0" collapsed="false">
      <c r="A13" s="1"/>
      <c r="B13" s="1"/>
      <c r="C13" s="1"/>
      <c r="D13" s="1"/>
      <c r="F13" s="1"/>
      <c r="G13" s="1"/>
      <c r="H13" s="1"/>
      <c r="I13" s="1"/>
    </row>
    <row r="14" customFormat="false" ht="34" hidden="false" customHeight="true" outlineLevel="0" collapsed="false">
      <c r="A14" s="5" t="s">
        <v>103</v>
      </c>
      <c r="B14" s="5" t="s">
        <v>19</v>
      </c>
      <c r="C14" s="5" t="s">
        <v>104</v>
      </c>
      <c r="D14" s="1"/>
      <c r="F14" s="1"/>
      <c r="G14" s="1"/>
      <c r="H14" s="1"/>
      <c r="I14" s="1"/>
    </row>
    <row r="15" customFormat="false" ht="34" hidden="false" customHeight="true" outlineLevel="0" collapsed="false">
      <c r="A15" s="1" t="s">
        <v>105</v>
      </c>
      <c r="B15" s="8" t="n">
        <v>0.85</v>
      </c>
      <c r="C15" s="1" t="s">
        <v>106</v>
      </c>
      <c r="D15" s="1"/>
      <c r="F15" s="1"/>
      <c r="G15" s="1"/>
      <c r="H15" s="1"/>
      <c r="I15" s="1"/>
    </row>
    <row r="16" customFormat="false" ht="34" hidden="false" customHeight="true" outlineLevel="0" collapsed="false">
      <c r="A16" s="1" t="s">
        <v>107</v>
      </c>
      <c r="B16" s="8" t="n">
        <v>0.62</v>
      </c>
      <c r="C16" s="1" t="s">
        <v>108</v>
      </c>
      <c r="D16" s="1"/>
      <c r="F16" s="1"/>
      <c r="G16" s="1"/>
      <c r="H16" s="1"/>
      <c r="I16" s="1"/>
    </row>
    <row r="17" customFormat="false" ht="34" hidden="false" customHeight="true" outlineLevel="0" collapsed="false">
      <c r="A17" s="1" t="s">
        <v>109</v>
      </c>
      <c r="B17" s="8" t="n">
        <v>0.55</v>
      </c>
      <c r="C17" s="1" t="s">
        <v>110</v>
      </c>
      <c r="D17" s="1"/>
      <c r="F17" s="1"/>
      <c r="G17" s="1"/>
      <c r="H17" s="1"/>
      <c r="I17" s="1"/>
    </row>
    <row r="18" customFormat="false" ht="34" hidden="false" customHeight="true" outlineLevel="0" collapsed="false">
      <c r="A18" s="1" t="s">
        <v>111</v>
      </c>
      <c r="B18" s="8" t="n">
        <v>0.2</v>
      </c>
      <c r="C18" s="1" t="s">
        <v>112</v>
      </c>
      <c r="D18" s="1"/>
      <c r="F18" s="1"/>
      <c r="G18" s="1"/>
      <c r="H18" s="1"/>
      <c r="I18" s="1"/>
    </row>
    <row r="19" customFormat="false" ht="34" hidden="false" customHeight="true" outlineLevel="0" collapsed="false">
      <c r="A19" s="1" t="s">
        <v>113</v>
      </c>
      <c r="B19" s="8" t="n">
        <v>0.77</v>
      </c>
      <c r="C19" s="1" t="s">
        <v>114</v>
      </c>
      <c r="D19" s="1"/>
      <c r="F19" s="1"/>
      <c r="G19" s="1"/>
      <c r="H19" s="1"/>
      <c r="I19" s="1"/>
    </row>
    <row r="20" customFormat="false" ht="34" hidden="false" customHeight="true" outlineLevel="0" collapsed="false">
      <c r="A20" s="1" t="s">
        <v>115</v>
      </c>
      <c r="B20" s="8" t="n">
        <v>0.44</v>
      </c>
      <c r="C20" s="1" t="s">
        <v>116</v>
      </c>
      <c r="D20" s="1"/>
      <c r="F20" s="1"/>
      <c r="G20" s="1"/>
      <c r="H20" s="1"/>
      <c r="I20" s="1"/>
    </row>
    <row r="21" customFormat="false" ht="34" hidden="false" customHeight="true" outlineLevel="0" collapsed="false">
      <c r="A21" s="1" t="s">
        <v>117</v>
      </c>
      <c r="B21" s="8" t="n">
        <v>0.85</v>
      </c>
      <c r="C21" s="1" t="s">
        <v>118</v>
      </c>
      <c r="D21" s="1"/>
      <c r="F21" s="1"/>
      <c r="G21" s="1"/>
      <c r="H21" s="1"/>
      <c r="I21" s="1"/>
    </row>
    <row r="22" customFormat="false" ht="34" hidden="false" customHeight="true" outlineLevel="0" collapsed="false">
      <c r="A22" s="1" t="s">
        <v>119</v>
      </c>
      <c r="B22" s="8" t="n">
        <v>0.62</v>
      </c>
      <c r="C22" s="1" t="s">
        <v>120</v>
      </c>
      <c r="D22" s="1"/>
      <c r="F22" s="1"/>
      <c r="G22" s="1"/>
      <c r="H22" s="1"/>
      <c r="I22" s="1"/>
    </row>
    <row r="23" customFormat="false" ht="34" hidden="false" customHeight="true" outlineLevel="0" collapsed="false">
      <c r="A23" s="1" t="s">
        <v>121</v>
      </c>
      <c r="B23" s="8" t="n">
        <v>1</v>
      </c>
      <c r="C23" s="1" t="s">
        <v>122</v>
      </c>
      <c r="D23" s="1"/>
      <c r="F23" s="1"/>
      <c r="G23" s="1"/>
      <c r="H23" s="1"/>
      <c r="I23" s="1"/>
    </row>
    <row r="24" customFormat="false" ht="34" hidden="false" customHeight="true" outlineLevel="0" collapsed="false">
      <c r="A24" s="1" t="s">
        <v>123</v>
      </c>
      <c r="B24" s="8" t="n">
        <v>1</v>
      </c>
      <c r="C24" s="1" t="s">
        <v>116</v>
      </c>
      <c r="D24" s="1"/>
      <c r="F24" s="1"/>
      <c r="G24" s="1"/>
      <c r="H24" s="1"/>
      <c r="I24" s="1"/>
    </row>
    <row r="25" customFormat="false" ht="34" hidden="false" customHeight="true" outlineLevel="0" collapsed="false">
      <c r="A25" s="1" t="s">
        <v>124</v>
      </c>
      <c r="B25" s="8" t="n">
        <v>0.97</v>
      </c>
      <c r="C25" s="1" t="s">
        <v>125</v>
      </c>
      <c r="D25" s="1"/>
      <c r="F25" s="1"/>
      <c r="G25" s="1"/>
      <c r="H25" s="1"/>
      <c r="I25" s="1"/>
    </row>
    <row r="26" customFormat="false" ht="34" hidden="false" customHeight="true" outlineLevel="0" collapsed="false">
      <c r="A26" s="1" t="s">
        <v>126</v>
      </c>
      <c r="B26" s="8" t="n">
        <v>0.94</v>
      </c>
      <c r="C26" s="1" t="s">
        <v>127</v>
      </c>
      <c r="D26" s="1"/>
      <c r="F26" s="1"/>
      <c r="G26" s="1"/>
      <c r="H26" s="1"/>
      <c r="I26" s="1"/>
    </row>
    <row r="27" customFormat="false" ht="34" hidden="false" customHeight="true" outlineLevel="0" collapsed="false">
      <c r="A27" s="1" t="s">
        <v>128</v>
      </c>
      <c r="B27" s="8" t="n">
        <v>0.91</v>
      </c>
      <c r="C27" s="1" t="s">
        <v>129</v>
      </c>
      <c r="D27" s="1"/>
      <c r="F27" s="1"/>
      <c r="G27" s="1"/>
      <c r="H27" s="1"/>
      <c r="I27" s="1"/>
    </row>
    <row r="28" customFormat="false" ht="34" hidden="false" customHeight="true" outlineLevel="0" collapsed="false">
      <c r="A28" s="1" t="s">
        <v>130</v>
      </c>
      <c r="B28" s="8" t="n">
        <v>1</v>
      </c>
      <c r="C28" s="1" t="s">
        <v>122</v>
      </c>
      <c r="D28" s="1"/>
      <c r="F28" s="1"/>
      <c r="G28" s="1"/>
      <c r="H28" s="1"/>
      <c r="I28" s="1"/>
    </row>
    <row r="29" customFormat="false" ht="34" hidden="false" customHeight="true" outlineLevel="0" collapsed="false">
      <c r="A29" s="1" t="s">
        <v>131</v>
      </c>
      <c r="B29" s="8" t="n">
        <v>1</v>
      </c>
      <c r="C29" s="1" t="s">
        <v>132</v>
      </c>
      <c r="D29" s="1"/>
      <c r="F29" s="1"/>
      <c r="G29" s="1"/>
      <c r="H29" s="1"/>
      <c r="I29" s="1"/>
    </row>
    <row r="30" customFormat="false" ht="34" hidden="false" customHeight="true" outlineLevel="0" collapsed="false">
      <c r="A30" s="1" t="s">
        <v>133</v>
      </c>
      <c r="B30" s="8" t="n">
        <v>0.97</v>
      </c>
      <c r="C30" s="1" t="s">
        <v>134</v>
      </c>
      <c r="D30" s="1"/>
      <c r="F30" s="1"/>
      <c r="G30" s="1"/>
      <c r="H30" s="1"/>
      <c r="I30" s="1"/>
    </row>
    <row r="31" customFormat="false" ht="34" hidden="false" customHeight="true" outlineLevel="0" collapsed="false">
      <c r="A31" s="1" t="s">
        <v>135</v>
      </c>
      <c r="B31" s="8" t="n">
        <v>0.96</v>
      </c>
      <c r="C31" s="1" t="s">
        <v>136</v>
      </c>
      <c r="D31" s="1"/>
      <c r="F31" s="1"/>
      <c r="G31" s="1"/>
      <c r="H31" s="1"/>
      <c r="I31" s="1"/>
    </row>
    <row r="32" customFormat="false" ht="34" hidden="false" customHeight="true" outlineLevel="0" collapsed="false">
      <c r="A32" s="1" t="s">
        <v>137</v>
      </c>
      <c r="B32" s="8" t="n">
        <v>0.95</v>
      </c>
      <c r="C32" s="1" t="s">
        <v>138</v>
      </c>
      <c r="D32" s="1"/>
      <c r="F32" s="1"/>
      <c r="G32" s="1"/>
      <c r="H32" s="1"/>
      <c r="I32" s="1"/>
    </row>
    <row r="33" customFormat="false" ht="34" hidden="false" customHeight="true" outlineLevel="0" collapsed="false">
      <c r="A33" s="1" t="s">
        <v>139</v>
      </c>
      <c r="B33" s="8" t="n">
        <v>1</v>
      </c>
      <c r="C33" s="1" t="s">
        <v>122</v>
      </c>
      <c r="D33" s="1"/>
      <c r="F33" s="1"/>
      <c r="G33" s="1"/>
      <c r="H33" s="1"/>
      <c r="I33" s="1"/>
    </row>
    <row r="34" customFormat="false" ht="34" hidden="false" customHeight="true" outlineLevel="0" collapsed="false">
      <c r="A34" s="1" t="s">
        <v>140</v>
      </c>
      <c r="B34" s="8" t="n">
        <v>1</v>
      </c>
      <c r="C34" s="1" t="s">
        <v>141</v>
      </c>
      <c r="D34" s="1"/>
      <c r="F34" s="1"/>
      <c r="G34" s="1"/>
      <c r="H34" s="1"/>
      <c r="I34" s="1"/>
    </row>
    <row r="35" customFormat="false" ht="34" hidden="false" customHeight="true" outlineLevel="0" collapsed="false">
      <c r="A35" s="1" t="s">
        <v>142</v>
      </c>
      <c r="B35" s="8" t="n">
        <v>0.96</v>
      </c>
      <c r="C35" s="1" t="s">
        <v>143</v>
      </c>
      <c r="D35" s="1"/>
      <c r="F35" s="1"/>
      <c r="G35" s="1"/>
      <c r="H35" s="1"/>
      <c r="I35" s="1"/>
    </row>
    <row r="36" customFormat="false" ht="34" hidden="false" customHeight="true" outlineLevel="0" collapsed="false">
      <c r="A36" s="1" t="s">
        <v>144</v>
      </c>
      <c r="B36" s="8" t="n">
        <v>0.92</v>
      </c>
      <c r="C36" s="1" t="s">
        <v>145</v>
      </c>
      <c r="D36" s="1"/>
      <c r="F36" s="1"/>
      <c r="G36" s="1"/>
      <c r="H36" s="1"/>
      <c r="I36" s="1"/>
    </row>
    <row r="37" customFormat="false" ht="34" hidden="false" customHeight="true" outlineLevel="0" collapsed="false">
      <c r="A37" s="1" t="s">
        <v>146</v>
      </c>
      <c r="B37" s="8" t="n">
        <v>0.56</v>
      </c>
      <c r="C37" s="1" t="s">
        <v>147</v>
      </c>
      <c r="D37" s="1"/>
      <c r="F37" s="1"/>
      <c r="G37" s="1"/>
      <c r="H37" s="1"/>
      <c r="I37" s="1"/>
    </row>
    <row r="38" customFormat="false" ht="34" hidden="false" customHeight="true" outlineLevel="0" collapsed="false">
      <c r="A38" s="1" t="s">
        <v>148</v>
      </c>
      <c r="B38" s="8" t="n">
        <v>0.22</v>
      </c>
      <c r="C38" s="1" t="s">
        <v>114</v>
      </c>
      <c r="D38" s="1"/>
      <c r="F38" s="1"/>
      <c r="G38" s="1"/>
      <c r="H38" s="1"/>
      <c r="I38" s="1"/>
    </row>
    <row r="39" customFormat="false" ht="34" hidden="false" customHeight="true" outlineLevel="0" collapsed="false">
      <c r="A39" s="1" t="s">
        <v>149</v>
      </c>
      <c r="B39" s="8" t="n">
        <v>0</v>
      </c>
      <c r="C39" s="1" t="s">
        <v>150</v>
      </c>
      <c r="D39" s="1"/>
      <c r="F39" s="1"/>
      <c r="G39" s="1"/>
      <c r="H39" s="1"/>
      <c r="I39" s="1"/>
    </row>
    <row r="40" customFormat="false" ht="23" hidden="false" customHeight="true" outlineLevel="0" collapsed="false">
      <c r="A40" s="1" t="s">
        <v>151</v>
      </c>
      <c r="B40" s="8" t="n">
        <v>0.56</v>
      </c>
      <c r="C40" s="1" t="s">
        <v>147</v>
      </c>
      <c r="D40" s="1"/>
      <c r="E40" s="1"/>
      <c r="F40" s="1"/>
      <c r="G40" s="1"/>
      <c r="H40" s="1"/>
      <c r="I40" s="1"/>
    </row>
    <row r="41" customFormat="false" ht="23" hidden="false" customHeight="true" outlineLevel="0" collapsed="false">
      <c r="A41" s="1" t="s">
        <v>152</v>
      </c>
      <c r="B41" s="8" t="n">
        <v>0.22</v>
      </c>
      <c r="C41" s="1" t="s">
        <v>114</v>
      </c>
      <c r="D41" s="1"/>
      <c r="E41" s="1"/>
      <c r="F41" s="1"/>
      <c r="G41" s="1"/>
      <c r="H41" s="1"/>
      <c r="I41" s="1"/>
    </row>
    <row r="42" customFormat="false" ht="23" hidden="false" customHeight="true" outlineLevel="0" collapsed="false">
      <c r="A42" s="1" t="s">
        <v>153</v>
      </c>
      <c r="B42" s="8" t="n">
        <v>0</v>
      </c>
      <c r="C42" s="1" t="s">
        <v>150</v>
      </c>
      <c r="D42" s="1"/>
      <c r="E42" s="1"/>
      <c r="F42" s="1"/>
      <c r="G42" s="1"/>
      <c r="H42" s="1"/>
      <c r="I42" s="1"/>
    </row>
    <row r="43" customFormat="false" ht="23" hidden="false" customHeight="true" outlineLevel="0" collapsed="false">
      <c r="A43" s="1" t="s">
        <v>154</v>
      </c>
      <c r="B43" s="8" t="n">
        <v>0.56</v>
      </c>
      <c r="C43" s="1" t="s">
        <v>147</v>
      </c>
      <c r="D43" s="1"/>
      <c r="E43" s="1"/>
      <c r="F43" s="1"/>
      <c r="G43" s="1"/>
      <c r="H43" s="1"/>
      <c r="I43" s="1"/>
    </row>
    <row r="44" customFormat="false" ht="23" hidden="false" customHeight="true" outlineLevel="0" collapsed="false">
      <c r="A44" s="1" t="s">
        <v>155</v>
      </c>
      <c r="B44" s="8" t="n">
        <v>0.22</v>
      </c>
      <c r="C44" s="1" t="s">
        <v>114</v>
      </c>
      <c r="D44" s="1"/>
      <c r="E44" s="1"/>
      <c r="F44" s="1"/>
      <c r="G44" s="1"/>
      <c r="H44" s="1"/>
      <c r="I44" s="1"/>
    </row>
    <row r="45" customFormat="false" ht="23" hidden="false" customHeight="true" outlineLevel="0" collapsed="false">
      <c r="A45" s="1" t="s">
        <v>156</v>
      </c>
      <c r="B45" s="8" t="n">
        <v>0</v>
      </c>
      <c r="C45" s="1" t="s">
        <v>150</v>
      </c>
      <c r="D45" s="1"/>
      <c r="E45" s="1"/>
      <c r="F45" s="1"/>
      <c r="G45" s="1"/>
      <c r="H45" s="1"/>
      <c r="I45" s="1"/>
    </row>
    <row r="46" customFormat="false" ht="23" hidden="false" customHeight="true" outlineLevel="0" collapsed="false">
      <c r="A46" s="1" t="s">
        <v>157</v>
      </c>
      <c r="B46" s="8" t="n">
        <v>1</v>
      </c>
      <c r="C46" s="1" t="s">
        <v>122</v>
      </c>
      <c r="D46" s="1"/>
      <c r="E46" s="1"/>
      <c r="F46" s="1"/>
      <c r="G46" s="1"/>
      <c r="H46" s="1"/>
      <c r="I46" s="1"/>
    </row>
    <row r="47" customFormat="false" ht="23" hidden="false" customHeight="true" outlineLevel="0" collapsed="false">
      <c r="A47" s="1" t="s">
        <v>158</v>
      </c>
      <c r="B47" s="8" t="n">
        <v>1.5</v>
      </c>
      <c r="C47" s="1" t="s">
        <v>147</v>
      </c>
      <c r="D47" s="1"/>
      <c r="E47" s="1"/>
      <c r="F47" s="1"/>
      <c r="G47" s="1"/>
      <c r="H47" s="1"/>
      <c r="I47" s="1"/>
    </row>
    <row r="48" customFormat="false" ht="23" hidden="false" customHeight="true" outlineLevel="0" collapsed="false">
      <c r="A48" s="1" t="s">
        <v>159</v>
      </c>
      <c r="B48" s="8" t="n">
        <v>1</v>
      </c>
      <c r="C48" s="1" t="s">
        <v>160</v>
      </c>
      <c r="D48" s="1"/>
      <c r="E48" s="1"/>
      <c r="F48" s="1"/>
      <c r="G48" s="1"/>
      <c r="H48" s="1"/>
      <c r="I48" s="1"/>
    </row>
    <row r="49" customFormat="false" ht="23" hidden="false" customHeight="true" outlineLevel="0" collapsed="false">
      <c r="A49" s="1" t="s">
        <v>161</v>
      </c>
      <c r="B49" s="8" t="n">
        <v>0.5</v>
      </c>
      <c r="C49" s="1" t="s">
        <v>114</v>
      </c>
      <c r="D49" s="1"/>
      <c r="E49" s="1"/>
      <c r="F49" s="1"/>
      <c r="G49" s="1"/>
      <c r="H49" s="1"/>
      <c r="I49" s="1"/>
    </row>
    <row r="50" customFormat="false" ht="23" hidden="false" customHeight="true" outlineLevel="0" collapsed="false">
      <c r="A50" s="1" t="s">
        <v>162</v>
      </c>
      <c r="B50" s="8" t="n">
        <v>1</v>
      </c>
      <c r="C50" s="1" t="s">
        <v>122</v>
      </c>
      <c r="D50" s="1"/>
      <c r="E50" s="1"/>
      <c r="F50" s="1"/>
      <c r="G50" s="1"/>
      <c r="H50" s="1"/>
      <c r="I50" s="1"/>
    </row>
    <row r="51" customFormat="false" ht="23" hidden="false" customHeight="true" outlineLevel="0" collapsed="false">
      <c r="A51" s="1" t="s">
        <v>163</v>
      </c>
      <c r="B51" s="8" t="n">
        <v>1.5</v>
      </c>
      <c r="C51" s="1" t="s">
        <v>147</v>
      </c>
      <c r="D51" s="1"/>
      <c r="E51" s="1"/>
      <c r="F51" s="1"/>
      <c r="G51" s="1"/>
      <c r="H51" s="1"/>
      <c r="I51" s="1"/>
    </row>
    <row r="52" customFormat="false" ht="23" hidden="false" customHeight="true" outlineLevel="0" collapsed="false">
      <c r="A52" s="1" t="s">
        <v>164</v>
      </c>
      <c r="B52" s="8" t="n">
        <v>1</v>
      </c>
      <c r="C52" s="1" t="s">
        <v>160</v>
      </c>
      <c r="D52" s="1"/>
      <c r="E52" s="1"/>
      <c r="F52" s="1"/>
      <c r="G52" s="1"/>
      <c r="H52" s="1"/>
      <c r="I52" s="1"/>
    </row>
    <row r="53" customFormat="false" ht="23" hidden="false" customHeight="true" outlineLevel="0" collapsed="false">
      <c r="A53" s="1" t="s">
        <v>165</v>
      </c>
      <c r="B53" s="8" t="n">
        <v>0.5</v>
      </c>
      <c r="C53" s="1" t="s">
        <v>114</v>
      </c>
      <c r="D53" s="1"/>
      <c r="E53" s="1"/>
      <c r="F53" s="1"/>
      <c r="G53" s="1"/>
      <c r="H53" s="1"/>
      <c r="I53" s="1"/>
    </row>
    <row r="54" customFormat="false" ht="23" hidden="false" customHeight="true" outlineLevel="0" collapsed="false">
      <c r="A54" s="1" t="s">
        <v>166</v>
      </c>
      <c r="B54" s="8" t="n">
        <v>1</v>
      </c>
      <c r="C54" s="1" t="s">
        <v>122</v>
      </c>
      <c r="D54" s="1"/>
      <c r="E54" s="1"/>
      <c r="F54" s="1"/>
      <c r="G54" s="1"/>
      <c r="H54" s="1"/>
      <c r="I54" s="1"/>
    </row>
    <row r="55" customFormat="false" ht="23" hidden="false" customHeight="true" outlineLevel="0" collapsed="false">
      <c r="A55" s="1" t="s">
        <v>167</v>
      </c>
      <c r="B55" s="8" t="n">
        <v>1.5</v>
      </c>
      <c r="C55" s="1" t="s">
        <v>147</v>
      </c>
      <c r="D55" s="1"/>
      <c r="E55" s="1"/>
      <c r="F55" s="1"/>
      <c r="G55" s="1"/>
      <c r="H55" s="1"/>
      <c r="I55" s="1"/>
    </row>
    <row r="56" customFormat="false" ht="23" hidden="false" customHeight="true" outlineLevel="0" collapsed="false">
      <c r="A56" s="1" t="s">
        <v>168</v>
      </c>
      <c r="B56" s="8" t="n">
        <v>1</v>
      </c>
      <c r="C56" s="1" t="s">
        <v>160</v>
      </c>
      <c r="D56" s="1"/>
      <c r="E56" s="1"/>
      <c r="F56" s="1"/>
      <c r="G56" s="1"/>
      <c r="H56" s="1"/>
      <c r="I56" s="1"/>
    </row>
    <row r="57" customFormat="false" ht="23" hidden="false" customHeight="true" outlineLevel="0" collapsed="false">
      <c r="A57" s="1" t="s">
        <v>169</v>
      </c>
      <c r="B57" s="8" t="n">
        <v>0.5</v>
      </c>
      <c r="C57" s="1" t="s">
        <v>114</v>
      </c>
      <c r="D57" s="1"/>
      <c r="E57" s="1"/>
      <c r="F57" s="1"/>
      <c r="G57" s="1"/>
      <c r="H57" s="1"/>
      <c r="I57" s="1"/>
    </row>
    <row r="58" customFormat="false" ht="23" hidden="false" customHeight="true" outlineLevel="0" collapsed="false">
      <c r="A58" s="1" t="s">
        <v>170</v>
      </c>
      <c r="B58" s="8" t="n">
        <v>0.85</v>
      </c>
      <c r="C58" s="1" t="s">
        <v>150</v>
      </c>
      <c r="D58" s="1"/>
      <c r="E58" s="1"/>
      <c r="F58" s="1"/>
      <c r="G58" s="1"/>
      <c r="H58" s="1"/>
      <c r="I58" s="1"/>
    </row>
    <row r="59" customFormat="false" ht="23" hidden="false" customHeight="true" outlineLevel="0" collapsed="false">
      <c r="A59" s="1" t="s">
        <v>171</v>
      </c>
      <c r="B59" s="8" t="n">
        <v>0.62</v>
      </c>
      <c r="C59" s="1" t="s">
        <v>172</v>
      </c>
      <c r="D59" s="1"/>
      <c r="E59" s="1"/>
      <c r="F59" s="1"/>
      <c r="G59" s="1"/>
      <c r="H59" s="1"/>
      <c r="I59" s="1"/>
    </row>
    <row r="60" customFormat="false" ht="23" hidden="false" customHeight="true" outlineLevel="0" collapsed="false">
      <c r="A60" s="1" t="s">
        <v>173</v>
      </c>
      <c r="B60" s="8" t="n">
        <v>0.27</v>
      </c>
      <c r="C60" s="1" t="s">
        <v>174</v>
      </c>
      <c r="D60" s="1"/>
      <c r="E60" s="1"/>
      <c r="F60" s="1"/>
      <c r="G60" s="1"/>
      <c r="H60" s="1"/>
      <c r="I60" s="1"/>
    </row>
    <row r="61" customFormat="false" ht="23" hidden="false" customHeight="true" outlineLevel="0" collapsed="false">
      <c r="A61" s="1" t="s">
        <v>175</v>
      </c>
      <c r="B61" s="8" t="n">
        <v>0.85</v>
      </c>
      <c r="C61" s="1" t="s">
        <v>150</v>
      </c>
      <c r="D61" s="1"/>
      <c r="E61" s="1"/>
      <c r="F61" s="1"/>
      <c r="G61" s="1"/>
      <c r="H61" s="1"/>
      <c r="I61" s="1"/>
    </row>
    <row r="62" customFormat="false" ht="23" hidden="false" customHeight="true" outlineLevel="0" collapsed="false">
      <c r="A62" s="1" t="s">
        <v>176</v>
      </c>
      <c r="B62" s="8" t="n">
        <v>0.68</v>
      </c>
      <c r="C62" s="1" t="s">
        <v>172</v>
      </c>
      <c r="D62" s="1"/>
      <c r="E62" s="1"/>
      <c r="F62" s="1"/>
      <c r="G62" s="1"/>
      <c r="H62" s="1"/>
      <c r="I62" s="1"/>
    </row>
    <row r="63" customFormat="false" ht="23" hidden="false" customHeight="true" outlineLevel="0" collapsed="false">
      <c r="A63" s="1" t="s">
        <v>177</v>
      </c>
      <c r="B63" s="8" t="n">
        <v>0.5</v>
      </c>
      <c r="C63" s="1" t="s">
        <v>174</v>
      </c>
      <c r="D63" s="1"/>
      <c r="E63" s="1"/>
      <c r="F63" s="1"/>
      <c r="G63" s="1"/>
      <c r="H63" s="1"/>
      <c r="I63" s="1"/>
    </row>
    <row r="64" customFormat="false" ht="23" hidden="false" customHeight="true" outlineLevel="0" collapsed="false">
      <c r="A64" s="1" t="s">
        <v>178</v>
      </c>
      <c r="B64" s="8" t="s">
        <v>179</v>
      </c>
      <c r="C64" s="1" t="s">
        <v>180</v>
      </c>
      <c r="D64" s="1"/>
      <c r="E64" s="1"/>
      <c r="F64" s="1"/>
      <c r="G64" s="1"/>
      <c r="H64" s="1"/>
      <c r="I64" s="1"/>
    </row>
    <row r="65" customFormat="false" ht="23" hidden="false" customHeight="true" outlineLevel="0" collapsed="false">
      <c r="A65" s="1" t="s">
        <v>181</v>
      </c>
      <c r="B65" s="8" t="s">
        <v>179</v>
      </c>
      <c r="C65" s="1" t="s">
        <v>182</v>
      </c>
      <c r="D65" s="1"/>
      <c r="E65" s="1"/>
      <c r="F65" s="1"/>
      <c r="G65" s="1"/>
      <c r="H65" s="1"/>
      <c r="I65" s="1"/>
    </row>
    <row r="66" customFormat="false" ht="23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23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23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23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23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2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2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23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23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2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23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2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2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2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2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2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2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23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23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2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23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23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23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23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23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2026-10-02T11:09:08Z</dcterms:modified>
  <cp:revision>2</cp:revision>
  <dc:subject/>
  <dc:title/>
</cp:coreProperties>
</file>